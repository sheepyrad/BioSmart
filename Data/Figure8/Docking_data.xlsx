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nrad\Documents\"/>
    </mc:Choice>
  </mc:AlternateContent>
  <xr:revisionPtr revIDLastSave="0" documentId="13_ncr:1_{E27C8E38-BD11-4499-A543-23C00CB075E0}" xr6:coauthVersionLast="47" xr6:coauthVersionMax="47" xr10:uidLastSave="{00000000-0000-0000-0000-000000000000}"/>
  <bookViews>
    <workbookView xWindow="2895" yWindow="2895" windowWidth="2433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2" i="1"/>
</calcChain>
</file>

<file path=xl/sharedStrings.xml><?xml version="1.0" encoding="utf-8"?>
<sst xmlns="http://schemas.openxmlformats.org/spreadsheetml/2006/main" count="65" uniqueCount="65">
  <si>
    <t>Compound ID</t>
  </si>
  <si>
    <t>SMILES</t>
  </si>
  <si>
    <t>Vina Thumb (kcal/mol)</t>
  </si>
  <si>
    <t>Vina Finger (kcal/mol)</t>
  </si>
  <si>
    <t>Vina Palm (kcal/mol)</t>
  </si>
  <si>
    <t>Vina hERG (kcal/mol)</t>
  </si>
  <si>
    <t>Brc1ccc(C2(COC3CCCC3n3cc(C4(N5CCNCC5)CCOCC4)nn3)CC2)cc1</t>
  </si>
  <si>
    <t>COc1ccc(-c2cn([C@@H]3CC[C@@H]3OC(C)c3ccc(Cl)c(C)c3Cl)nn2)c(C)n1</t>
  </si>
  <si>
    <t>Cc1sc2ccc(Cl)cc2c1CO[C@@H]1CCCCC[C@H]1n1cc(-c2ccc(C(=O)O)c(Cl)c2)nn1</t>
  </si>
  <si>
    <t>Cc1c(Cl)ccc(C(C)O[C@@H]2CCCC[C@H]2n2cc(-c3coc(C(=O)O)c3)nn2)c1Cl</t>
  </si>
  <si>
    <t>Cc1ccc(Cl)c(CO[C@@H]2CCCCC[C@H]2n2cc(-c3ccc(C(=O)O)cc3Cl)nn2)c1</t>
  </si>
  <si>
    <t>O=C(O)c1ccc(-c2cn(C3CCCC3OCC3(c4ccc(Br)cc4)CC3)nn2)c2ccccc12</t>
  </si>
  <si>
    <t>CCC(O[C@@H]1CCC[C@H]1n1cc(-c2cc(I)cc(C(=O)O)c2)nn1)c1ccc(Cl)cc1</t>
  </si>
  <si>
    <t>Cc1cc(C(=O)O)ccc1-c1cn([C@@H]2CCCCC[C@H]2OCCc2ccc(Cl)c(Br)c2)nn1</t>
  </si>
  <si>
    <t>CNC1(c2cn(C3CCCC3OCc3cc(Br)ccc3Oc3ccc(Cl)c(Cl)c3)nn2)CCCC1</t>
  </si>
  <si>
    <t>Cc1cc(Br)c(CO[C@@H]2CCCCC[C@H]2n2cc(-c3ccc(C(=O)O)cc3C)nn2)cc1Cl</t>
  </si>
  <si>
    <t>Cc1c(Cl)ccc(C(C)OC2CCCCC2n2cc(CC[C@H](N)C(N)=O)nn2)c1Cl</t>
  </si>
  <si>
    <t>O=C(O)c1ccc(-c2cn(C3CCCC3OCc3cccc4c(Cl)cccc34)nn2)cc1Br</t>
  </si>
  <si>
    <t>Cc1sc2ccc(Br)cc2c1CO[C@@H]1CCC[C@H]1n1cc(C2(N3CCNCC3)CCOCC2)nn1</t>
  </si>
  <si>
    <t>O=C(O)c1ccc(-c2cn([C@@H]3CCCCC[C@H]3OCC3(c4cccc(Cl)c4)CC3)nn2)cc1Cl</t>
  </si>
  <si>
    <t>NCCSCc1cn([C@@H]2CCC[C@H]2OCc2cc(Br)ccc2Oc2ccc(Cl)c(Cl)c2)nn1</t>
  </si>
  <si>
    <t>O=C(O)c1ccc(-c2cn([C@@H]3CCCCC[C@H]3OCC3(c4ccc(Cl)cc4)CC3)nn2)cc1Cl</t>
  </si>
  <si>
    <t>O=C(O)c1ccc(-c2cn(C3CCCC3OC(c3ccc(Cl)cc3)c3ccc(Cl)cc3)nn2)c2ccccc12</t>
  </si>
  <si>
    <t>O=C(O)c1ccc(-c2cn([C@@H]3CCCCC[C@H]3OCC3(c4ccc(Br)cc4)CC3)nn2)c(Br)c1</t>
  </si>
  <si>
    <t>Cc1sc2ccc(Br)cc2c1CO[C@@H]1CCCCC[C@H]1n1cc(-c2ccc(C(=O)O)cc2Br)nn1</t>
  </si>
  <si>
    <t>CCC(OC1CCCC1n1cc(-c2ccc(C(=O)O)c(C)c2)nn1)c1ccc(Cl)cc1Cl</t>
  </si>
  <si>
    <t>Cc1cc(C(=O)O)ccc1-c1cn([C@@H]2CCCCC[C@H]2OCc2c(Br)sc3ccccc23)nn1</t>
  </si>
  <si>
    <t>CC(O[C@H]1CC[C@H]1n1cc(-c2ccc(C(=O)O)c3ccccc23)nn1)c1ccc(Cl)cc1Br</t>
  </si>
  <si>
    <t>O=C(O)c1ccc(-c2cn([C@@H]3CCCCC[C@H]3OCc3ccc(Br)c4ccccc34)nn2)cc1O</t>
  </si>
  <si>
    <t>Cc1cc(C(=O)O)ccc1-c1cn([C@@H]2CC[C@@H]2OCc2c(C)sc3ccc(Br)cc23)nn1</t>
  </si>
  <si>
    <t>Cc1cc(C(=O)O)sc1-c1cn(C2CCCC2OC(c2ccc(Cl)cc2)c2ccc(Cl)cc2)nn1</t>
  </si>
  <si>
    <t>O=C(O)c1ccc(-c2cn([C@@H]3CCCCC[C@H]3OCC3(c4cccc(Cl)c4)CC3)nn2)c(Br)c1</t>
  </si>
  <si>
    <t>Cc1cc(Br)ccc1C(C)O[C@H]1CC[C@H]1n1cc(-c2ccc(C(=O)O)c3ccccc23)nn1</t>
  </si>
  <si>
    <t>CCC(OC1CCCC1n1cc(-c2ccc(C(=O)O)cc2C)nn1)c1ccc(Cl)cc1</t>
  </si>
  <si>
    <t>CC(O[C@@H]1CCCCC[C@H]1n1cc(-c2ccc(C(=O)O)cc2Br)nn1)c1ccc(Cl)cc1Cl</t>
  </si>
  <si>
    <t>Cc1cc(C(=O)O)ccc1-c1cn([C@@H]2CCCCC[C@H]2OCc2csc3cc(Br)ccc23)nn1</t>
  </si>
  <si>
    <t>CCC(OC1CCCC1n1cc(-c2ccc(C(=O)O)c(C)c2)nn1)c1ccc(Cl)cc1</t>
  </si>
  <si>
    <t>Clc1cccc2c(CO[C@@H]3CCCC[C@H]3n3cc(C4(N5CCNCC5)CCC4)nn3)cccc12</t>
  </si>
  <si>
    <t>Brc1cccc2c(CO[C@@H]3CCCCC[C@H]3n3cc(C(C4CC4)N4CCNCC4)nn3)cccc12</t>
  </si>
  <si>
    <t>NCCN1CCN(CCc2cn([C@@H]3CCC[C@H]3OCC3(c4ccc(F)cc4)CC3)nn2)CC1</t>
  </si>
  <si>
    <t>Cc1cc(-c2cn([C@@H]3CCCCC[C@H]3OCc3sc4ccccc4c3Br)nn2)ccc1C(=O)O</t>
  </si>
  <si>
    <t>Cc1c(Cl)ccc(C(C)OC2CCCC2n2cc(-c3ccc(C(=O)O)cc3Cl)nn2)c1Cl</t>
  </si>
  <si>
    <t>Brc1ccc2c(CO[C@@H]3CCCCC[C@H]3n3cc(C(C4CC4)N4CCNCC4)nn3)cccc2c1</t>
  </si>
  <si>
    <t>Cc1cc(-c2cn(C3CCCC3OC(C)c3ccc(Cl)cc3Br)nn2)ccc1C(=O)O</t>
  </si>
  <si>
    <t>O=C(O)c1ccc(-c2cn([C@@H]3CCCC[C@H]3OCC3(c4cccc(Br)c4)CC3)nn2)c(Br)c1</t>
  </si>
  <si>
    <t>CN(C)C(c1cn([C@@H]2CCC[C@H]2OCc2cc(Br)ccc2Oc2ccc(Cl)c(Cl)c2)nn1)C1CC1</t>
  </si>
  <si>
    <t>CC(OC1CCCC1n1cc(C(C2CC2)N2CCNCC2)nn1)c1ccc(Cl)c(Cl)c1Cl</t>
  </si>
  <si>
    <t>O=C(O)c1ccc(-c2cn([C@@H]3CC[C@@H]3OCc3cc(Br)ccc3Oc3ccc(Cl)c(Cl)c3)nn2)c(F)c1</t>
  </si>
  <si>
    <t>CN(C)C(=O)c1cn([C@@H]2CCC[C@H]2OCc2cc(Br)ccc2Oc2ccc(Cl)c(Cl)c2)nn1</t>
  </si>
  <si>
    <t>CC(c1cn([C@@H]2CCC[C@H]2OC(c2ccc(F)cc2)c2ccc(Br)cc2)nn1)N1CCCNCC1</t>
  </si>
  <si>
    <t>CC(c1cn(C2CCCC2OCc2cc(Br)ccc2Oc2ccc(Cl)c(Cl)c2)nn1)N1CCCNCC1</t>
  </si>
  <si>
    <t>Cc1cc(C(OC2CCCC2n2cc(C(C)N3CCCNCC3)nn2)c2cc(Cl)ccc2F)c(C)cc1Br</t>
  </si>
  <si>
    <t>CC(O[C@@H]1CCCCC[C@H]1n1cc(-c2ccc(C(=O)O)cc2)nn1)c1ccc(Cl)cc1Br</t>
  </si>
  <si>
    <t>CC(O[C@@H]1CCCCC[C@H]1n1cc(-c2ccc(C(=O)O)cc2Cl)nn1)c1ccc(Cl)c(Cl)c1Cl</t>
  </si>
  <si>
    <t>Clc1ccc(CO[C@@H]2CCC[C@H]2n2cc(C3(N4CCNCC4)CCOCC3)nn2)c2ccccc12</t>
  </si>
  <si>
    <t>CC(O[C@@H]1CCCCC[C@H]1n1cc(-c2ccc(C(=O)O)cc2Br)nn1)c1ccc(Cl)cc1Br</t>
  </si>
  <si>
    <t>CC(O[C@@H]1CCC[C@H]1n1cc(C2(N3CCNCC3)CCOCC2)nn1)c1ccc(Br)cc1Cl</t>
  </si>
  <si>
    <t>Cc1ccc2c(CO[C@H]3CC[C@H]3n3cc(-c4ccc(C(=O)O)c(Br)c4)nn3)cccc2c1</t>
  </si>
  <si>
    <t>Cc1sc2ccc(Cl)cc2c1CO[C@@H]1CCCCC[C@H]1n1cc(-c2ccc(C(=O)O)c(O)c2)nn1</t>
  </si>
  <si>
    <t>Cc1cc(-c2cn([C@@H]3CCC[C@H]3OCCc3ccc(Cl)c(Br)c3)nn2)ccc1C(=O)O</t>
  </si>
  <si>
    <t>CCC(OC1CCCC1n1cc(-c2ccc(C(=O)O)cc2Br)nn1)c1ccc(Cl)cc1Cl</t>
  </si>
  <si>
    <t>O=C(O)c1ccc(-c2cn(C3CCCC3OCC3(c4ccc(Cl)cc4)CC3)nn2)cc1Cl</t>
  </si>
  <si>
    <t>CCC(OC1CCCC1n1cc(-c2ccc(C(=O)O)cc2C)nn1)c1ccc(F)cc1</t>
  </si>
  <si>
    <t>Shortlisted</t>
  </si>
  <si>
    <t>boltz_score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</si>
</sst>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numFmt numFmtId="164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Top Model 1 SLA vs NS5 dock 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</c:marker>
          <c:xVal>
            <c:numRef>
              <c:f>[1]in!$I$62:$I$65</c:f>
              <c:numCache>
                <c:formatCode>General</c:formatCode>
                <c:ptCount val="4"/>
                <c:pt idx="0">
                  <c:v>0.1899999999999995</c:v>
                </c:pt>
                <c:pt idx="1">
                  <c:v>-0.69700000000000006</c:v>
                </c:pt>
                <c:pt idx="2">
                  <c:v>0.12300000000000022</c:v>
                </c:pt>
                <c:pt idx="3">
                  <c:v>-0.38699999999999957</c:v>
                </c:pt>
              </c:numCache>
            </c:numRef>
          </c:xVal>
          <c:yVal>
            <c:numRef>
              <c:f>[1]in!$K$62:$K$65</c:f>
              <c:numCache>
                <c:formatCode>General</c:formatCode>
                <c:ptCount val="4"/>
                <c:pt idx="0">
                  <c:v>-0.86099999999999977</c:v>
                </c:pt>
                <c:pt idx="1">
                  <c:v>-0.16599999999999948</c:v>
                </c:pt>
                <c:pt idx="2">
                  <c:v>-0.33499999999999996</c:v>
                </c:pt>
                <c:pt idx="3">
                  <c:v>-0.75199999999999978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E8-46B7-B6DB-A96B4D00A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4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Top Ensemble SLA vs NS5 dock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</c:marker>
          <c:xVal>
            <c:numRef>
              <c:f>[1]in!$I$69:$I$74</c:f>
              <c:numCache>
                <c:formatCode>General</c:formatCode>
                <c:ptCount val="6"/>
                <c:pt idx="0">
                  <c:v>-0.26700000000000035</c:v>
                </c:pt>
                <c:pt idx="1">
                  <c:v>-0.88400000000000034</c:v>
                </c:pt>
                <c:pt idx="2">
                  <c:v>-7.8000000000000291E-2</c:v>
                </c:pt>
                <c:pt idx="3">
                  <c:v>0.49599999999999955</c:v>
                </c:pt>
                <c:pt idx="4">
                  <c:v>-0.29499999999999993</c:v>
                </c:pt>
                <c:pt idx="5">
                  <c:v>-0.33699999999999974</c:v>
                </c:pt>
              </c:numCache>
            </c:numRef>
          </c:xVal>
          <c:yVal>
            <c:numRef>
              <c:f>[1]in!$K$69:$K$74</c:f>
              <c:numCache>
                <c:formatCode>General</c:formatCode>
                <c:ptCount val="6"/>
                <c:pt idx="0">
                  <c:v>-0.48200000000000021</c:v>
                </c:pt>
                <c:pt idx="1">
                  <c:v>-1.0060000000000002</c:v>
                </c:pt>
                <c:pt idx="2">
                  <c:v>-0.55000000000000071</c:v>
                </c:pt>
                <c:pt idx="3">
                  <c:v>2.0999999999999908E-2</c:v>
                </c:pt>
                <c:pt idx="4">
                  <c:v>-1.0439999999999996</c:v>
                </c:pt>
                <c:pt idx="5">
                  <c:v>-0.31799999999999962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15-4B17-A452-3721C6D38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n-US"/>
          </a:p>
        </c:txPr>
        <c:crossAx val="48672768"/>
        <c:crosses val="autoZero"/>
        <c:crossBetween val="midCat"/>
      </c:valAx>
    </c:plotArea>
    <c:plotVisOnly val="1"/>
    <c:dispBlanksAs val="zero"/>
    <c:showDLblsOverMax val="1"/>
  </c:char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110</xdr:row>
      <xdr:rowOff>38100</xdr:rowOff>
    </xdr:from>
    <xdr:to>
      <xdr:col>5</xdr:col>
      <xdr:colOff>0</xdr:colOff>
      <xdr:row>129</xdr:row>
      <xdr:rowOff>38100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130</xdr:row>
      <xdr:rowOff>6350</xdr:rowOff>
    </xdr:from>
    <xdr:to>
      <xdr:col>5</xdr:col>
      <xdr:colOff>0</xdr:colOff>
      <xdr:row>151</xdr:row>
      <xdr:rowOff>107950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C224FA-7913-4E83-BEE6-335EE2202644}" name="Table3" displayName="Table3" ref="A1:H58" totalsRowShown="0" headerRowDxfId="0" dataDxfId="1">
  <autoFilter ref="A1:H58" xr:uid="{99C224FA-7913-4E83-BEE6-335EE2202644}"/>
  <sortState xmlns:xlrd2="http://schemas.microsoft.com/office/spreadsheetml/2017/richdata2" ref="A2:H58">
    <sortCondition ref="A1:A58"/>
  </sortState>
  <tableColumns count="8">
    <tableColumn id="1" xr3:uid="{315A8DCE-280E-4656-9AD4-D656E9D7FC59}" name="Compound ID" dataDxfId="9"/>
    <tableColumn id="2" xr3:uid="{AB688E35-77E9-44F4-8FD2-857595DDF456}" name="SMILES" dataDxfId="8"/>
    <tableColumn id="3" xr3:uid="{78815BE0-B73A-472C-B62F-FEB638E7D06E}" name="boltz_score" dataDxfId="7"/>
    <tableColumn id="4" xr3:uid="{2C0CB7C1-7A06-4C90-8D0F-AA73198E947F}" name="Vina Thumb (kcal/mol)" dataDxfId="6"/>
    <tableColumn id="5" xr3:uid="{C8E5A820-2341-4E8E-AFA3-63213E1E685C}" name="Vina Finger (kcal/mol)" dataDxfId="5"/>
    <tableColumn id="6" xr3:uid="{119B147B-7C4A-4038-BB5B-1408B4494E59}" name="Vina Palm (kcal/mol)" dataDxfId="4"/>
    <tableColumn id="7" xr3:uid="{3F3E91CC-5F5B-42C3-8AEF-C0C498D5ABAC}" name="Vina hERG (kcal/mol)" dataDxfId="3"/>
    <tableColumn id="8" xr3:uid="{957735B5-16EF-4FDA-900F-5C88658963E4}" name="Shortlisted" dataDxfId="2">
      <calculatedColumnFormula>IF(AND(D2&lt;=MEDIAN($D$2:$D$58),E2&gt;=MEDIAN($E$2:$E$58),F2&gt;=MEDIAN($F$2:$F$58),G2&gt;=MEDIAN($G$2:$G$58)),"Yes","No")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9"/>
  <sheetViews>
    <sheetView tabSelected="1" zoomScale="85" zoomScaleNormal="85" workbookViewId="0">
      <selection activeCell="K61" sqref="K61"/>
    </sheetView>
  </sheetViews>
  <sheetFormatPr defaultRowHeight="15" x14ac:dyDescent="0.25"/>
  <cols>
    <col min="1" max="1" width="14.28515625" customWidth="1"/>
    <col min="2" max="2" width="79.5703125" bestFit="1" customWidth="1"/>
    <col min="3" max="3" width="20.140625" bestFit="1" customWidth="1"/>
    <col min="4" max="4" width="22.28515625" customWidth="1"/>
    <col min="5" max="5" width="21.7109375" customWidth="1"/>
    <col min="6" max="6" width="20" bestFit="1" customWidth="1"/>
    <col min="7" max="7" width="20.85546875" customWidth="1"/>
    <col min="8" max="8" width="15" customWidth="1"/>
  </cols>
  <sheetData>
    <row r="1" spans="1:8" ht="45" x14ac:dyDescent="0.25">
      <c r="A1" s="5" t="s">
        <v>0</v>
      </c>
      <c r="B1" s="1" t="s">
        <v>1</v>
      </c>
      <c r="C1" s="1" t="s">
        <v>64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63</v>
      </c>
    </row>
    <row r="2" spans="1:8" x14ac:dyDescent="0.25">
      <c r="A2" s="1">
        <v>1</v>
      </c>
      <c r="B2" s="1" t="s">
        <v>6</v>
      </c>
      <c r="C2" s="1">
        <v>1.0758232320000001</v>
      </c>
      <c r="D2" s="2">
        <v>-7.532</v>
      </c>
      <c r="E2" s="2">
        <v>-6.1180000000000003</v>
      </c>
      <c r="F2" s="2">
        <v>-7.181</v>
      </c>
      <c r="G2" s="2">
        <v>-6.5220000000000002</v>
      </c>
      <c r="H2" s="1" t="str">
        <f>IF(AND(D2&lt;=MEDIAN($D$2:$D$58),E2&gt;=MEDIAN($E$2:$E$58),F2&gt;=MEDIAN($F$2:$F$58),G2&gt;=MEDIAN($G$2:$G$58)),"Yes","No")</f>
        <v>No</v>
      </c>
    </row>
    <row r="3" spans="1:8" x14ac:dyDescent="0.25">
      <c r="A3" s="1">
        <v>2</v>
      </c>
      <c r="B3" s="1" t="s">
        <v>7</v>
      </c>
      <c r="C3" s="1">
        <v>1.0317975109999999</v>
      </c>
      <c r="D3" s="2">
        <v>-7.0750000000000002</v>
      </c>
      <c r="E3" s="2">
        <v>-5.7850000000000001</v>
      </c>
      <c r="F3" s="2">
        <v>-6.05</v>
      </c>
      <c r="G3" s="2">
        <v>-5.431</v>
      </c>
      <c r="H3" s="1" t="str">
        <f>IF(AND(D3&lt;=MEDIAN($D$2:$D$58),E3&gt;=MEDIAN($E$2:$E$58),F3&gt;=MEDIAN($F$2:$F$58),G3&gt;=MEDIAN($G$2:$G$58)),"Yes","No")</f>
        <v>No</v>
      </c>
    </row>
    <row r="4" spans="1:8" x14ac:dyDescent="0.25">
      <c r="A4" s="1">
        <v>3</v>
      </c>
      <c r="B4" s="1" t="s">
        <v>8</v>
      </c>
      <c r="C4" s="1">
        <v>1.002705161</v>
      </c>
      <c r="D4" s="2">
        <v>-8.3010000000000002</v>
      </c>
      <c r="E4" s="2">
        <v>-7.149</v>
      </c>
      <c r="F4" s="2">
        <v>-7.5270000000000001</v>
      </c>
      <c r="G4" s="2">
        <v>-7.1210000000000004</v>
      </c>
      <c r="H4" s="1" t="str">
        <f>IF(AND(D4&lt;=MEDIAN($D$2:$D$58),E4&gt;=MEDIAN($E$2:$E$58),F4&gt;=MEDIAN($F$2:$F$58),G4&gt;=MEDIAN($G$2:$G$58)),"Yes","No")</f>
        <v>No</v>
      </c>
    </row>
    <row r="5" spans="1:8" x14ac:dyDescent="0.25">
      <c r="A5" s="1">
        <v>4</v>
      </c>
      <c r="B5" s="1" t="s">
        <v>9</v>
      </c>
      <c r="C5" s="1">
        <v>0.99721676599999998</v>
      </c>
      <c r="D5" s="2">
        <v>-7.008</v>
      </c>
      <c r="E5" s="2">
        <v>-6.5949999999999998</v>
      </c>
      <c r="F5" s="2">
        <v>-6.9950000000000001</v>
      </c>
      <c r="G5" s="2">
        <v>-6.0129999999999999</v>
      </c>
      <c r="H5" s="1" t="str">
        <f>IF(AND(D5&lt;=MEDIAN($D$2:$D$58),E5&gt;=MEDIAN($E$2:$E$58),F5&gt;=MEDIAN($F$2:$F$58),G5&gt;=MEDIAN($G$2:$G$58)),"Yes","No")</f>
        <v>No</v>
      </c>
    </row>
    <row r="6" spans="1:8" x14ac:dyDescent="0.25">
      <c r="A6" s="1">
        <v>5</v>
      </c>
      <c r="B6" s="1" t="s">
        <v>10</v>
      </c>
      <c r="C6" s="1">
        <v>0.98171024299999998</v>
      </c>
      <c r="D6" s="2">
        <v>-8.0839999999999996</v>
      </c>
      <c r="E6" s="2">
        <v>-7.6609999999999996</v>
      </c>
      <c r="F6" s="2">
        <v>-7.282</v>
      </c>
      <c r="G6" s="2">
        <v>-7.4119999999999999</v>
      </c>
      <c r="H6" s="1" t="str">
        <f>IF(AND(D6&lt;=MEDIAN($D$2:$D$58),E6&gt;=MEDIAN($E$2:$E$58),F6&gt;=MEDIAN($F$2:$F$58),G6&gt;=MEDIAN($G$2:$G$58)),"Yes","No")</f>
        <v>No</v>
      </c>
    </row>
    <row r="7" spans="1:8" x14ac:dyDescent="0.25">
      <c r="A7" s="3">
        <v>6</v>
      </c>
      <c r="B7" s="3" t="s">
        <v>11</v>
      </c>
      <c r="C7" s="3">
        <v>0.96229189900000001</v>
      </c>
      <c r="D7" s="4">
        <v>-9.0380000000000003</v>
      </c>
      <c r="E7" s="4">
        <v>-6.6020000000000003</v>
      </c>
      <c r="F7" s="4">
        <v>-6.8029999999999999</v>
      </c>
      <c r="G7" s="4">
        <v>-5.7089999999999996</v>
      </c>
      <c r="H7" s="3" t="str">
        <f>IF(AND(D7&lt;=MEDIAN($D$2:$D$58),E7&gt;=MEDIAN($E$2:$E$58),F7&gt;=MEDIAN($F$2:$F$58),G7&gt;=MEDIAN($G$2:$G$58)),"Yes","No")</f>
        <v>Yes</v>
      </c>
    </row>
    <row r="8" spans="1:8" x14ac:dyDescent="0.25">
      <c r="A8" s="1">
        <v>7</v>
      </c>
      <c r="B8" s="1" t="s">
        <v>12</v>
      </c>
      <c r="C8" s="1">
        <v>0.95302440200000005</v>
      </c>
      <c r="D8" s="2">
        <v>-7.1189999999999998</v>
      </c>
      <c r="E8" s="2">
        <v>-6.2859999999999996</v>
      </c>
      <c r="F8" s="2">
        <v>-6.1760000000000002</v>
      </c>
      <c r="G8" s="2">
        <v>-6.4180000000000001</v>
      </c>
      <c r="H8" s="1" t="str">
        <f>IF(AND(D8&lt;=MEDIAN($D$2:$D$58),E8&gt;=MEDIAN($E$2:$E$58),F8&gt;=MEDIAN($F$2:$F$58),G8&gt;=MEDIAN($G$2:$G$58)),"Yes","No")</f>
        <v>No</v>
      </c>
    </row>
    <row r="9" spans="1:8" x14ac:dyDescent="0.25">
      <c r="A9" s="1">
        <v>8</v>
      </c>
      <c r="B9" s="1" t="s">
        <v>13</v>
      </c>
      <c r="C9" s="1">
        <v>0.94191667599999995</v>
      </c>
      <c r="D9" s="2">
        <v>-7.2850000000000001</v>
      </c>
      <c r="E9" s="2">
        <v>-6.9039999999999999</v>
      </c>
      <c r="F9" s="2">
        <v>-7.7770000000000001</v>
      </c>
      <c r="G9" s="2">
        <v>-7.67</v>
      </c>
      <c r="H9" s="1" t="str">
        <f>IF(AND(D9&lt;=MEDIAN($D$2:$D$58),E9&gt;=MEDIAN($E$2:$E$58),F9&gt;=MEDIAN($F$2:$F$58),G9&gt;=MEDIAN($G$2:$G$58)),"Yes","No")</f>
        <v>No</v>
      </c>
    </row>
    <row r="10" spans="1:8" x14ac:dyDescent="0.25">
      <c r="A10" s="1">
        <v>9</v>
      </c>
      <c r="B10" s="1" t="s">
        <v>14</v>
      </c>
      <c r="C10" s="1">
        <v>0.93584790399999995</v>
      </c>
      <c r="D10" s="2">
        <v>-6.5129999999999999</v>
      </c>
      <c r="E10" s="2">
        <v>-6.9640000000000004</v>
      </c>
      <c r="F10" s="2">
        <v>-7.03</v>
      </c>
      <c r="G10" s="2">
        <v>-6.1680000000000001</v>
      </c>
      <c r="H10" s="1" t="str">
        <f>IF(AND(D10&lt;=MEDIAN($D$2:$D$58),E10&gt;=MEDIAN($E$2:$E$58),F10&gt;=MEDIAN($F$2:$F$58),G10&gt;=MEDIAN($G$2:$G$58)),"Yes","No")</f>
        <v>No</v>
      </c>
    </row>
    <row r="11" spans="1:8" x14ac:dyDescent="0.25">
      <c r="A11" s="1">
        <v>10</v>
      </c>
      <c r="B11" s="1" t="s">
        <v>15</v>
      </c>
      <c r="C11" s="1">
        <v>0.93432880500000004</v>
      </c>
      <c r="D11" s="2">
        <v>-7.8680000000000003</v>
      </c>
      <c r="E11" s="2">
        <v>-7.3890000000000002</v>
      </c>
      <c r="F11" s="2">
        <v>-7.0659999999999998</v>
      </c>
      <c r="G11" s="2">
        <v>-7.0110000000000001</v>
      </c>
      <c r="H11" s="1" t="str">
        <f>IF(AND(D11&lt;=MEDIAN($D$2:$D$58),E11&gt;=MEDIAN($E$2:$E$58),F11&gt;=MEDIAN($F$2:$F$58),G11&gt;=MEDIAN($G$2:$G$58)),"Yes","No")</f>
        <v>No</v>
      </c>
    </row>
    <row r="12" spans="1:8" x14ac:dyDescent="0.25">
      <c r="A12" s="1">
        <v>11</v>
      </c>
      <c r="B12" s="1" t="s">
        <v>16</v>
      </c>
      <c r="C12" s="1">
        <v>0.91455041999999998</v>
      </c>
      <c r="D12" s="2">
        <v>-7.1859999999999999</v>
      </c>
      <c r="E12" s="2">
        <v>-6.2850000000000001</v>
      </c>
      <c r="F12" s="2">
        <v>-6.2480000000000002</v>
      </c>
      <c r="G12" s="2">
        <v>-5.4870000000000001</v>
      </c>
      <c r="H12" s="1" t="str">
        <f>IF(AND(D12&lt;=MEDIAN($D$2:$D$58),E12&gt;=MEDIAN($E$2:$E$58),F12&gt;=MEDIAN($F$2:$F$58),G12&gt;=MEDIAN($G$2:$G$58)),"Yes","No")</f>
        <v>No</v>
      </c>
    </row>
    <row r="13" spans="1:8" x14ac:dyDescent="0.25">
      <c r="A13" s="1">
        <v>12</v>
      </c>
      <c r="B13" s="1" t="s">
        <v>17</v>
      </c>
      <c r="C13" s="1">
        <v>0.91307565700000004</v>
      </c>
      <c r="D13" s="2">
        <v>-8.9499999999999993</v>
      </c>
      <c r="E13" s="2">
        <v>-6.9130000000000003</v>
      </c>
      <c r="F13" s="2">
        <v>-6.2169999999999996</v>
      </c>
      <c r="G13" s="2">
        <v>-5.6840000000000002</v>
      </c>
      <c r="H13" s="1" t="str">
        <f>IF(AND(D13&lt;=MEDIAN($D$2:$D$58),E13&gt;=MEDIAN($E$2:$E$58),F13&gt;=MEDIAN($F$2:$F$58),G13&gt;=MEDIAN($G$2:$G$58)),"Yes","No")</f>
        <v>No</v>
      </c>
    </row>
    <row r="14" spans="1:8" x14ac:dyDescent="0.25">
      <c r="A14" s="1">
        <v>13</v>
      </c>
      <c r="B14" s="1" t="s">
        <v>18</v>
      </c>
      <c r="C14" s="1">
        <v>0.89505856100000003</v>
      </c>
      <c r="D14" s="2">
        <v>-7.5730000000000004</v>
      </c>
      <c r="E14" s="2">
        <v>-6.508</v>
      </c>
      <c r="F14" s="2">
        <v>-6.6920000000000002</v>
      </c>
      <c r="G14" s="2">
        <v>-6.0090000000000003</v>
      </c>
      <c r="H14" s="1" t="str">
        <f>IF(AND(D14&lt;=MEDIAN($D$2:$D$58),E14&gt;=MEDIAN($E$2:$E$58),F14&gt;=MEDIAN($F$2:$F$58),G14&gt;=MEDIAN($G$2:$G$58)),"Yes","No")</f>
        <v>No</v>
      </c>
    </row>
    <row r="15" spans="1:8" x14ac:dyDescent="0.25">
      <c r="A15" s="1">
        <v>14</v>
      </c>
      <c r="B15" s="1" t="s">
        <v>19</v>
      </c>
      <c r="C15" s="1">
        <v>0.891295065</v>
      </c>
      <c r="D15" s="2">
        <v>-7.9210000000000003</v>
      </c>
      <c r="E15" s="2">
        <v>-7.4429999999999996</v>
      </c>
      <c r="F15" s="2">
        <v>-7.6580000000000004</v>
      </c>
      <c r="G15" s="2">
        <v>-7.7060000000000004</v>
      </c>
      <c r="H15" s="1" t="str">
        <f>IF(AND(D15&lt;=MEDIAN($D$2:$D$58),E15&gt;=MEDIAN($E$2:$E$58),F15&gt;=MEDIAN($F$2:$F$58),G15&gt;=MEDIAN($G$2:$G$58)),"Yes","No")</f>
        <v>No</v>
      </c>
    </row>
    <row r="16" spans="1:8" x14ac:dyDescent="0.25">
      <c r="A16" s="1">
        <v>15</v>
      </c>
      <c r="B16" s="1" t="s">
        <v>20</v>
      </c>
      <c r="C16" s="1">
        <v>0.88631095800000004</v>
      </c>
      <c r="D16" s="2">
        <v>-6.5570000000000004</v>
      </c>
      <c r="E16" s="2">
        <v>-6.0460000000000003</v>
      </c>
      <c r="F16" s="2">
        <v>-5.2830000000000004</v>
      </c>
      <c r="G16" s="2">
        <v>-5.1070000000000002</v>
      </c>
      <c r="H16" s="1" t="str">
        <f>IF(AND(D16&lt;=MEDIAN($D$2:$D$58),E16&gt;=MEDIAN($E$2:$E$58),F16&gt;=MEDIAN($F$2:$F$58),G16&gt;=MEDIAN($G$2:$G$58)),"Yes","No")</f>
        <v>No</v>
      </c>
    </row>
    <row r="17" spans="1:8" x14ac:dyDescent="0.25">
      <c r="A17" s="1">
        <v>16</v>
      </c>
      <c r="B17" s="1" t="s">
        <v>21</v>
      </c>
      <c r="C17" s="1">
        <v>0.88519325900000001</v>
      </c>
      <c r="D17" s="2">
        <v>-8.2010000000000005</v>
      </c>
      <c r="E17" s="2">
        <v>-7.5810000000000004</v>
      </c>
      <c r="F17" s="2">
        <v>-8.1199999999999992</v>
      </c>
      <c r="G17" s="2">
        <v>-7.9969999999999999</v>
      </c>
      <c r="H17" s="1" t="str">
        <f>IF(AND(D17&lt;=MEDIAN($D$2:$D$58),E17&gt;=MEDIAN($E$2:$E$58),F17&gt;=MEDIAN($F$2:$F$58),G17&gt;=MEDIAN($G$2:$G$58)),"Yes","No")</f>
        <v>No</v>
      </c>
    </row>
    <row r="18" spans="1:8" x14ac:dyDescent="0.25">
      <c r="A18" s="1">
        <v>17</v>
      </c>
      <c r="B18" s="1" t="s">
        <v>22</v>
      </c>
      <c r="C18" s="1">
        <v>0.88446730699999998</v>
      </c>
      <c r="D18" s="2">
        <v>-8.5510000000000002</v>
      </c>
      <c r="E18" s="2">
        <v>-7.54</v>
      </c>
      <c r="F18" s="2">
        <v>-8.1080000000000005</v>
      </c>
      <c r="G18" s="2">
        <v>-7.2919999999999998</v>
      </c>
      <c r="H18" s="1" t="str">
        <f>IF(AND(D18&lt;=MEDIAN($D$2:$D$58),E18&gt;=MEDIAN($E$2:$E$58),F18&gt;=MEDIAN($F$2:$F$58),G18&gt;=MEDIAN($G$2:$G$58)),"Yes","No")</f>
        <v>No</v>
      </c>
    </row>
    <row r="19" spans="1:8" x14ac:dyDescent="0.25">
      <c r="A19" s="1">
        <v>18</v>
      </c>
      <c r="B19" s="1" t="s">
        <v>23</v>
      </c>
      <c r="C19" s="1">
        <v>0.88327383199999998</v>
      </c>
      <c r="D19" s="2">
        <v>-8.1859999999999999</v>
      </c>
      <c r="E19" s="2">
        <v>-6.8369999999999997</v>
      </c>
      <c r="F19" s="2">
        <v>-7.12</v>
      </c>
      <c r="G19" s="2">
        <v>-7.806</v>
      </c>
      <c r="H19" s="1" t="str">
        <f>IF(AND(D19&lt;=MEDIAN($D$2:$D$58),E19&gt;=MEDIAN($E$2:$E$58),F19&gt;=MEDIAN($F$2:$F$58),G19&gt;=MEDIAN($G$2:$G$58)),"Yes","No")</f>
        <v>No</v>
      </c>
    </row>
    <row r="20" spans="1:8" x14ac:dyDescent="0.25">
      <c r="A20" s="1">
        <v>20</v>
      </c>
      <c r="B20" s="1" t="s">
        <v>24</v>
      </c>
      <c r="C20" s="1">
        <v>0.87831497300000005</v>
      </c>
      <c r="D20" s="2">
        <v>-7.82</v>
      </c>
      <c r="E20" s="2">
        <v>-7.17</v>
      </c>
      <c r="F20" s="2">
        <v>-7.8</v>
      </c>
      <c r="G20" s="2">
        <v>-6.4009999999999998</v>
      </c>
      <c r="H20" s="1" t="str">
        <f>IF(AND(D20&lt;=MEDIAN($D$2:$D$58),E20&gt;=MEDIAN($E$2:$E$58),F20&gt;=MEDIAN($F$2:$F$58),G20&gt;=MEDIAN($G$2:$G$58)),"Yes","No")</f>
        <v>No</v>
      </c>
    </row>
    <row r="21" spans="1:8" x14ac:dyDescent="0.25">
      <c r="A21" s="1">
        <v>21</v>
      </c>
      <c r="B21" s="1" t="s">
        <v>25</v>
      </c>
      <c r="C21" s="1">
        <v>0.87811283699999998</v>
      </c>
      <c r="D21" s="2">
        <v>-7.3819999999999997</v>
      </c>
      <c r="E21" s="2">
        <v>-6.9009999999999998</v>
      </c>
      <c r="F21" s="2">
        <v>-6.1509999999999998</v>
      </c>
      <c r="G21" s="2">
        <v>-6.7990000000000004</v>
      </c>
      <c r="H21" s="1" t="str">
        <f>IF(AND(D21&lt;=MEDIAN($D$2:$D$58),E21&gt;=MEDIAN($E$2:$E$58),F21&gt;=MEDIAN($F$2:$F$58),G21&gt;=MEDIAN($G$2:$G$58)),"Yes","No")</f>
        <v>No</v>
      </c>
    </row>
    <row r="22" spans="1:8" x14ac:dyDescent="0.25">
      <c r="A22" s="1">
        <v>22</v>
      </c>
      <c r="B22" s="1" t="s">
        <v>26</v>
      </c>
      <c r="C22" s="1">
        <v>0.87784126299999998</v>
      </c>
      <c r="D22" s="2">
        <v>-7.41</v>
      </c>
      <c r="E22" s="2">
        <v>-7.1509999999999998</v>
      </c>
      <c r="F22" s="2">
        <v>-7.6139999999999999</v>
      </c>
      <c r="G22" s="2">
        <v>-7.12</v>
      </c>
      <c r="H22" s="1" t="str">
        <f>IF(AND(D22&lt;=MEDIAN($D$2:$D$58),E22&gt;=MEDIAN($E$2:$E$58),F22&gt;=MEDIAN($F$2:$F$58),G22&gt;=MEDIAN($G$2:$G$58)),"Yes","No")</f>
        <v>No</v>
      </c>
    </row>
    <row r="23" spans="1:8" x14ac:dyDescent="0.25">
      <c r="A23" s="3">
        <v>24</v>
      </c>
      <c r="B23" s="3" t="s">
        <v>27</v>
      </c>
      <c r="C23" s="3">
        <v>0.868394577</v>
      </c>
      <c r="D23" s="4">
        <v>-8.4169999999999998</v>
      </c>
      <c r="E23" s="4">
        <v>-6.7960000000000003</v>
      </c>
      <c r="F23" s="4">
        <v>-6.7149999999999999</v>
      </c>
      <c r="G23" s="4">
        <v>-6.5140000000000002</v>
      </c>
      <c r="H23" s="3" t="str">
        <f>IF(AND(D23&lt;=MEDIAN($D$2:$D$58),E23&gt;=MEDIAN($E$2:$E$58),F23&gt;=MEDIAN($F$2:$F$58),G23&gt;=MEDIAN($G$2:$G$58)),"Yes","No")</f>
        <v>Yes</v>
      </c>
    </row>
    <row r="24" spans="1:8" x14ac:dyDescent="0.25">
      <c r="A24" s="1">
        <v>25</v>
      </c>
      <c r="B24" s="1" t="s">
        <v>28</v>
      </c>
      <c r="C24" s="1">
        <v>0.86719819300000001</v>
      </c>
      <c r="D24" s="2">
        <v>-8.0269999999999992</v>
      </c>
      <c r="E24" s="2">
        <v>-7.6920000000000002</v>
      </c>
      <c r="F24" s="2">
        <v>-8.4879999999999995</v>
      </c>
      <c r="G24" s="2">
        <v>-7.4020000000000001</v>
      </c>
      <c r="H24" s="1" t="str">
        <f>IF(AND(D24&lt;=MEDIAN($D$2:$D$58),E24&gt;=MEDIAN($E$2:$E$58),F24&gt;=MEDIAN($F$2:$F$58),G24&gt;=MEDIAN($G$2:$G$58)),"Yes","No")</f>
        <v>No</v>
      </c>
    </row>
    <row r="25" spans="1:8" x14ac:dyDescent="0.25">
      <c r="A25" s="1">
        <v>26</v>
      </c>
      <c r="B25" s="1" t="s">
        <v>29</v>
      </c>
      <c r="C25" s="1">
        <v>0.86201288600000003</v>
      </c>
      <c r="D25" s="2">
        <v>-7.4359999999999999</v>
      </c>
      <c r="E25" s="2">
        <v>-6.3410000000000002</v>
      </c>
      <c r="F25" s="2">
        <v>-6.7610000000000001</v>
      </c>
      <c r="G25" s="2">
        <v>-6.202</v>
      </c>
      <c r="H25" s="1" t="str">
        <f>IF(AND(D25&lt;=MEDIAN($D$2:$D$58),E25&gt;=MEDIAN($E$2:$E$58),F25&gt;=MEDIAN($F$2:$F$58),G25&gt;=MEDIAN($G$2:$G$58)),"Yes","No")</f>
        <v>No</v>
      </c>
    </row>
    <row r="26" spans="1:8" x14ac:dyDescent="0.25">
      <c r="A26" s="1">
        <v>27</v>
      </c>
      <c r="B26" s="1" t="s">
        <v>30</v>
      </c>
      <c r="C26" s="1">
        <v>0.86157077900000001</v>
      </c>
      <c r="D26" s="2">
        <v>-7.8940000000000001</v>
      </c>
      <c r="E26" s="2">
        <v>-6.9450000000000003</v>
      </c>
      <c r="F26" s="2">
        <v>-7.2370000000000001</v>
      </c>
      <c r="G26" s="2">
        <v>-6.4379999999999997</v>
      </c>
      <c r="H26" s="1" t="str">
        <f>IF(AND(D26&lt;=MEDIAN($D$2:$D$58),E26&gt;=MEDIAN($E$2:$E$58),F26&gt;=MEDIAN($F$2:$F$58),G26&gt;=MEDIAN($G$2:$G$58)),"Yes","No")</f>
        <v>No</v>
      </c>
    </row>
    <row r="27" spans="1:8" x14ac:dyDescent="0.25">
      <c r="A27" s="1">
        <v>28</v>
      </c>
      <c r="B27" s="1" t="s">
        <v>31</v>
      </c>
      <c r="C27" s="1">
        <v>0.859209581</v>
      </c>
      <c r="D27" s="2">
        <v>-7.7210000000000001</v>
      </c>
      <c r="E27" s="2">
        <v>-7.4290000000000003</v>
      </c>
      <c r="F27" s="2">
        <v>-7.2729999999999997</v>
      </c>
      <c r="G27" s="2">
        <v>-7.5570000000000004</v>
      </c>
      <c r="H27" s="1" t="str">
        <f>IF(AND(D27&lt;=MEDIAN($D$2:$D$58),E27&gt;=MEDIAN($E$2:$E$58),F27&gt;=MEDIAN($F$2:$F$58),G27&gt;=MEDIAN($G$2:$G$58)),"Yes","No")</f>
        <v>No</v>
      </c>
    </row>
    <row r="28" spans="1:8" x14ac:dyDescent="0.25">
      <c r="A28" s="3">
        <v>29</v>
      </c>
      <c r="B28" s="3" t="s">
        <v>32</v>
      </c>
      <c r="C28" s="3">
        <v>0.85846994099999996</v>
      </c>
      <c r="D28" s="4">
        <v>-8.4909999999999997</v>
      </c>
      <c r="E28" s="4">
        <v>-6.694</v>
      </c>
      <c r="F28" s="4">
        <v>-6.51</v>
      </c>
      <c r="G28" s="4">
        <v>-6.5540000000000003</v>
      </c>
      <c r="H28" s="3" t="str">
        <f>IF(AND(D28&lt;=MEDIAN($D$2:$D$58),E28&gt;=MEDIAN($E$2:$E$58),F28&gt;=MEDIAN($F$2:$F$58),G28&gt;=MEDIAN($G$2:$G$58)),"Yes","No")</f>
        <v>Yes</v>
      </c>
    </row>
    <row r="29" spans="1:8" x14ac:dyDescent="0.25">
      <c r="A29" s="1">
        <v>30</v>
      </c>
      <c r="B29" s="1" t="s">
        <v>33</v>
      </c>
      <c r="C29" s="1">
        <v>0.857753141</v>
      </c>
      <c r="D29" s="2">
        <v>-7.2510000000000003</v>
      </c>
      <c r="E29" s="2">
        <v>-7.2880000000000003</v>
      </c>
      <c r="F29" s="2">
        <v>-6.4249999999999998</v>
      </c>
      <c r="G29" s="2">
        <v>-6.4619999999999997</v>
      </c>
      <c r="H29" s="1" t="str">
        <f>IF(AND(D29&lt;=MEDIAN($D$2:$D$58),E29&gt;=MEDIAN($E$2:$E$58),F29&gt;=MEDIAN($F$2:$F$58),G29&gt;=MEDIAN($G$2:$G$58)),"Yes","No")</f>
        <v>No</v>
      </c>
    </row>
    <row r="30" spans="1:8" x14ac:dyDescent="0.25">
      <c r="A30" s="1">
        <v>31</v>
      </c>
      <c r="B30" s="1" t="s">
        <v>34</v>
      </c>
      <c r="C30" s="1">
        <v>0.85502963399999998</v>
      </c>
      <c r="D30" s="2">
        <v>-7.5250000000000004</v>
      </c>
      <c r="E30" s="2">
        <v>-7.1109999999999998</v>
      </c>
      <c r="F30" s="2">
        <v>-7.1849999999999996</v>
      </c>
      <c r="G30" s="2">
        <v>-7.2830000000000004</v>
      </c>
      <c r="H30" s="1" t="str">
        <f>IF(AND(D30&lt;=MEDIAN($D$2:$D$58),E30&gt;=MEDIAN($E$2:$E$58),F30&gt;=MEDIAN($F$2:$F$58),G30&gt;=MEDIAN($G$2:$G$58)),"Yes","No")</f>
        <v>No</v>
      </c>
    </row>
    <row r="31" spans="1:8" x14ac:dyDescent="0.25">
      <c r="A31" s="1">
        <v>32</v>
      </c>
      <c r="B31" s="1" t="s">
        <v>35</v>
      </c>
      <c r="C31" s="1">
        <v>0.85325648399999998</v>
      </c>
      <c r="D31" s="2">
        <v>-7.8079999999999998</v>
      </c>
      <c r="E31" s="2">
        <v>-7.0609999999999999</v>
      </c>
      <c r="F31" s="2">
        <v>-7.89</v>
      </c>
      <c r="G31" s="2">
        <v>-7.3890000000000002</v>
      </c>
      <c r="H31" s="1" t="str">
        <f>IF(AND(D31&lt;=MEDIAN($D$2:$D$58),E31&gt;=MEDIAN($E$2:$E$58),F31&gt;=MEDIAN($F$2:$F$58),G31&gt;=MEDIAN($G$2:$G$58)),"Yes","No")</f>
        <v>No</v>
      </c>
    </row>
    <row r="32" spans="1:8" x14ac:dyDescent="0.25">
      <c r="A32" s="1">
        <v>33</v>
      </c>
      <c r="B32" s="1" t="s">
        <v>36</v>
      </c>
      <c r="C32" s="1">
        <v>0.85290415100000005</v>
      </c>
      <c r="D32" s="2">
        <v>-7.4820000000000002</v>
      </c>
      <c r="E32" s="2">
        <v>-7.0439999999999996</v>
      </c>
      <c r="F32" s="2">
        <v>-6.657</v>
      </c>
      <c r="G32" s="2">
        <v>-6.7370000000000001</v>
      </c>
      <c r="H32" s="1" t="str">
        <f>IF(AND(D32&lt;=MEDIAN($D$2:$D$58),E32&gt;=MEDIAN($E$2:$E$58),F32&gt;=MEDIAN($F$2:$F$58),G32&gt;=MEDIAN($G$2:$G$58)),"Yes","No")</f>
        <v>No</v>
      </c>
    </row>
    <row r="33" spans="1:8" x14ac:dyDescent="0.25">
      <c r="A33" s="1">
        <v>34</v>
      </c>
      <c r="B33" s="1" t="s">
        <v>37</v>
      </c>
      <c r="C33" s="1">
        <v>0.85258089599999998</v>
      </c>
      <c r="D33" s="2">
        <v>-7.7060000000000004</v>
      </c>
      <c r="E33" s="2">
        <v>-6.7450000000000001</v>
      </c>
      <c r="F33" s="2">
        <v>-7.9169999999999998</v>
      </c>
      <c r="G33" s="2">
        <v>-7.3360000000000003</v>
      </c>
      <c r="H33" s="1" t="str">
        <f>IF(AND(D33&lt;=MEDIAN($D$2:$D$58),E33&gt;=MEDIAN($E$2:$E$58),F33&gt;=MEDIAN($F$2:$F$58),G33&gt;=MEDIAN($G$2:$G$58)),"Yes","No")</f>
        <v>No</v>
      </c>
    </row>
    <row r="34" spans="1:8" x14ac:dyDescent="0.25">
      <c r="A34" s="1">
        <v>35</v>
      </c>
      <c r="B34" s="1" t="s">
        <v>38</v>
      </c>
      <c r="C34" s="1">
        <v>0.84914534399999997</v>
      </c>
      <c r="D34" s="2">
        <v>-8.16</v>
      </c>
      <c r="E34" s="2">
        <v>-6.83</v>
      </c>
      <c r="F34" s="2">
        <v>-7.407</v>
      </c>
      <c r="G34" s="2">
        <v>-7.1840000000000002</v>
      </c>
      <c r="H34" s="1" t="str">
        <f>IF(AND(D34&lt;=MEDIAN($D$2:$D$58),E34&gt;=MEDIAN($E$2:$E$58),F34&gt;=MEDIAN($F$2:$F$58),G34&gt;=MEDIAN($G$2:$G$58)),"Yes","No")</f>
        <v>No</v>
      </c>
    </row>
    <row r="35" spans="1:8" x14ac:dyDescent="0.25">
      <c r="A35" s="1">
        <v>36</v>
      </c>
      <c r="B35" s="1" t="s">
        <v>39</v>
      </c>
      <c r="C35" s="1">
        <v>0.84828771599999997</v>
      </c>
      <c r="D35" s="2">
        <v>-7.157</v>
      </c>
      <c r="E35" s="2">
        <v>-6.3970000000000002</v>
      </c>
      <c r="F35" s="2">
        <v>-6.2069999999999999</v>
      </c>
      <c r="G35" s="2">
        <v>-6.0830000000000002</v>
      </c>
      <c r="H35" s="1" t="str">
        <f>IF(AND(D35&lt;=MEDIAN($D$2:$D$58),E35&gt;=MEDIAN($E$2:$E$58),F35&gt;=MEDIAN($F$2:$F$58),G35&gt;=MEDIAN($G$2:$G$58)),"Yes","No")</f>
        <v>No</v>
      </c>
    </row>
    <row r="36" spans="1:8" x14ac:dyDescent="0.25">
      <c r="A36" s="1">
        <v>37</v>
      </c>
      <c r="B36" s="1" t="s">
        <v>40</v>
      </c>
      <c r="C36" s="1">
        <v>0.84782440400000003</v>
      </c>
      <c r="D36" s="2">
        <v>-7.6319999999999997</v>
      </c>
      <c r="E36" s="2">
        <v>-6.8109999999999999</v>
      </c>
      <c r="F36" s="2">
        <v>-8.2349999999999994</v>
      </c>
      <c r="G36" s="2">
        <v>-7.6559999999999997</v>
      </c>
      <c r="H36" s="1" t="str">
        <f>IF(AND(D36&lt;=MEDIAN($D$2:$D$58),E36&gt;=MEDIAN($E$2:$E$58),F36&gt;=MEDIAN($F$2:$F$58),G36&gt;=MEDIAN($G$2:$G$58)),"Yes","No")</f>
        <v>No</v>
      </c>
    </row>
    <row r="37" spans="1:8" x14ac:dyDescent="0.25">
      <c r="A37" s="1">
        <v>38</v>
      </c>
      <c r="B37" s="1" t="s">
        <v>41</v>
      </c>
      <c r="C37" s="1">
        <v>0.84695081299999997</v>
      </c>
      <c r="D37" s="2">
        <v>-6.7590000000000003</v>
      </c>
      <c r="E37" s="2">
        <v>-6.2539999999999996</v>
      </c>
      <c r="F37" s="2">
        <v>-5.968</v>
      </c>
      <c r="G37" s="2">
        <v>-6.7119999999999997</v>
      </c>
      <c r="H37" s="1" t="str">
        <f>IF(AND(D37&lt;=MEDIAN($D$2:$D$58),E37&gt;=MEDIAN($E$2:$E$58),F37&gt;=MEDIAN($F$2:$F$58),G37&gt;=MEDIAN($G$2:$G$58)),"Yes","No")</f>
        <v>No</v>
      </c>
    </row>
    <row r="38" spans="1:8" x14ac:dyDescent="0.25">
      <c r="A38" s="1">
        <v>39</v>
      </c>
      <c r="B38" s="1" t="s">
        <v>42</v>
      </c>
      <c r="C38" s="1">
        <v>0.84163886099999996</v>
      </c>
      <c r="D38" s="2">
        <v>-6.9589999999999996</v>
      </c>
      <c r="E38" s="2">
        <v>-6.4909999999999997</v>
      </c>
      <c r="F38" s="2">
        <v>-7.41</v>
      </c>
      <c r="G38" s="2">
        <v>-6.7789999999999999</v>
      </c>
      <c r="H38" s="1" t="str">
        <f>IF(AND(D38&lt;=MEDIAN($D$2:$D$58),E38&gt;=MEDIAN($E$2:$E$58),F38&gt;=MEDIAN($F$2:$F$58),G38&gt;=MEDIAN($G$2:$G$58)),"Yes","No")</f>
        <v>No</v>
      </c>
    </row>
    <row r="39" spans="1:8" x14ac:dyDescent="0.25">
      <c r="A39" s="3">
        <v>41</v>
      </c>
      <c r="B39" s="3" t="s">
        <v>43</v>
      </c>
      <c r="C39" s="3">
        <v>0.83580194100000005</v>
      </c>
      <c r="D39" s="4">
        <v>-7.9480000000000004</v>
      </c>
      <c r="E39" s="4">
        <v>-6.2290000000000001</v>
      </c>
      <c r="F39" s="4">
        <v>-6.43</v>
      </c>
      <c r="G39" s="4">
        <v>-5.6130000000000004</v>
      </c>
      <c r="H39" s="3" t="str">
        <f>IF(AND(D39&lt;=MEDIAN($D$2:$D$58),E39&gt;=MEDIAN($E$2:$E$58),F39&gt;=MEDIAN($F$2:$F$58),G39&gt;=MEDIAN($G$2:$G$58)),"Yes","No")</f>
        <v>Yes</v>
      </c>
    </row>
    <row r="40" spans="1:8" x14ac:dyDescent="0.25">
      <c r="A40" s="1">
        <v>42</v>
      </c>
      <c r="B40" s="1" t="s">
        <v>44</v>
      </c>
      <c r="C40" s="1">
        <v>0.83423636999999995</v>
      </c>
      <c r="D40" s="2">
        <v>-8.4039999999999999</v>
      </c>
      <c r="E40" s="2">
        <v>-6.6079999999999997</v>
      </c>
      <c r="F40" s="2">
        <v>-7.8</v>
      </c>
      <c r="G40" s="2">
        <v>-6.9420000000000002</v>
      </c>
      <c r="H40" s="1" t="str">
        <f>IF(AND(D40&lt;=MEDIAN($D$2:$D$58),E40&gt;=MEDIAN($E$2:$E$58),F40&gt;=MEDIAN($F$2:$F$58),G40&gt;=MEDIAN($G$2:$G$58)),"Yes","No")</f>
        <v>No</v>
      </c>
    </row>
    <row r="41" spans="1:8" x14ac:dyDescent="0.25">
      <c r="A41" s="1">
        <v>43</v>
      </c>
      <c r="B41" s="1" t="s">
        <v>45</v>
      </c>
      <c r="C41" s="1">
        <v>0.83398689400000003</v>
      </c>
      <c r="D41" s="2">
        <v>-6.59</v>
      </c>
      <c r="E41" s="2">
        <v>-6.4909999999999997</v>
      </c>
      <c r="F41" s="2">
        <v>-6.4950000000000001</v>
      </c>
      <c r="G41" s="2">
        <v>-6.2</v>
      </c>
      <c r="H41" s="1" t="str">
        <f>IF(AND(D41&lt;=MEDIAN($D$2:$D$58),E41&gt;=MEDIAN($E$2:$E$58),F41&gt;=MEDIAN($F$2:$F$58),G41&gt;=MEDIAN($G$2:$G$58)),"Yes","No")</f>
        <v>No</v>
      </c>
    </row>
    <row r="42" spans="1:8" x14ac:dyDescent="0.25">
      <c r="A42" s="1">
        <v>44</v>
      </c>
      <c r="B42" s="1" t="s">
        <v>46</v>
      </c>
      <c r="C42" s="1">
        <v>0.83044115500000004</v>
      </c>
      <c r="D42" s="2">
        <v>-7.1289999999999996</v>
      </c>
      <c r="E42" s="2">
        <v>-6.2750000000000004</v>
      </c>
      <c r="F42" s="2">
        <v>-5.8810000000000002</v>
      </c>
      <c r="G42" s="2">
        <v>-5.8520000000000003</v>
      </c>
      <c r="H42" s="1" t="str">
        <f>IF(AND(D42&lt;=MEDIAN($D$2:$D$58),E42&gt;=MEDIAN($E$2:$E$58),F42&gt;=MEDIAN($F$2:$F$58),G42&gt;=MEDIAN($G$2:$G$58)),"Yes","No")</f>
        <v>No</v>
      </c>
    </row>
    <row r="43" spans="1:8" x14ac:dyDescent="0.25">
      <c r="A43" s="3">
        <v>45</v>
      </c>
      <c r="B43" s="3" t="s">
        <v>47</v>
      </c>
      <c r="C43" s="3">
        <v>0.82922724999999997</v>
      </c>
      <c r="D43" s="4">
        <v>-8.2249999999999996</v>
      </c>
      <c r="E43" s="4">
        <v>-6.6539999999999999</v>
      </c>
      <c r="F43" s="4">
        <v>-6.74</v>
      </c>
      <c r="G43" s="4">
        <v>-6.6959999999999997</v>
      </c>
      <c r="H43" s="3" t="str">
        <f>IF(AND(D43&lt;=MEDIAN($D$2:$D$58),E43&gt;=MEDIAN($E$2:$E$58),F43&gt;=MEDIAN($F$2:$F$58),G43&gt;=MEDIAN($G$2:$G$58)),"Yes","No")</f>
        <v>Yes</v>
      </c>
    </row>
    <row r="44" spans="1:8" x14ac:dyDescent="0.25">
      <c r="A44" s="1">
        <v>46</v>
      </c>
      <c r="B44" s="1" t="s">
        <v>48</v>
      </c>
      <c r="C44" s="1">
        <v>0.82919084099999996</v>
      </c>
      <c r="D44" s="2">
        <v>-6.6109999999999998</v>
      </c>
      <c r="E44" s="2">
        <v>-6.3040000000000003</v>
      </c>
      <c r="F44" s="2">
        <v>-6.181</v>
      </c>
      <c r="G44" s="2">
        <v>-5.5410000000000004</v>
      </c>
      <c r="H44" s="1" t="str">
        <f>IF(AND(D44&lt;=MEDIAN($D$2:$D$58),E44&gt;=MEDIAN($E$2:$E$58),F44&gt;=MEDIAN($F$2:$F$58),G44&gt;=MEDIAN($G$2:$G$58)),"Yes","No")</f>
        <v>No</v>
      </c>
    </row>
    <row r="45" spans="1:8" x14ac:dyDescent="0.25">
      <c r="A45" s="1">
        <v>47</v>
      </c>
      <c r="B45" s="1" t="s">
        <v>49</v>
      </c>
      <c r="C45" s="1">
        <v>0.82759774200000003</v>
      </c>
      <c r="D45" s="2">
        <v>-7.3040000000000003</v>
      </c>
      <c r="E45" s="2">
        <v>-6.923</v>
      </c>
      <c r="F45" s="2">
        <v>-7.3029999999999999</v>
      </c>
      <c r="G45" s="2">
        <v>-6.194</v>
      </c>
      <c r="H45" s="1" t="str">
        <f>IF(AND(D45&lt;=MEDIAN($D$2:$D$58),E45&gt;=MEDIAN($E$2:$E$58),F45&gt;=MEDIAN($F$2:$F$58),G45&gt;=MEDIAN($G$2:$G$58)),"Yes","No")</f>
        <v>No</v>
      </c>
    </row>
    <row r="46" spans="1:8" x14ac:dyDescent="0.25">
      <c r="A46" s="1">
        <v>48</v>
      </c>
      <c r="B46" s="1" t="s">
        <v>50</v>
      </c>
      <c r="C46" s="1">
        <v>0.82735513000000005</v>
      </c>
      <c r="D46" s="2">
        <v>-7.09</v>
      </c>
      <c r="E46" s="2">
        <v>-6.9539999999999997</v>
      </c>
      <c r="F46" s="2">
        <v>-7.1970000000000001</v>
      </c>
      <c r="G46" s="2">
        <v>-6.0640000000000001</v>
      </c>
      <c r="H46" s="1" t="str">
        <f>IF(AND(D46&lt;=MEDIAN($D$2:$D$58),E46&gt;=MEDIAN($E$2:$E$58),F46&gt;=MEDIAN($F$2:$F$58),G46&gt;=MEDIAN($G$2:$G$58)),"Yes","No")</f>
        <v>No</v>
      </c>
    </row>
    <row r="47" spans="1:8" x14ac:dyDescent="0.25">
      <c r="A47" s="1">
        <v>49</v>
      </c>
      <c r="B47" s="1" t="s">
        <v>51</v>
      </c>
      <c r="C47" s="1">
        <v>0.82363632200000003</v>
      </c>
      <c r="D47" s="2">
        <v>-7.5789999999999997</v>
      </c>
      <c r="E47" s="2">
        <v>-6.8419999999999996</v>
      </c>
      <c r="F47" s="2">
        <v>-7.0650000000000004</v>
      </c>
      <c r="G47" s="2">
        <v>-5.601</v>
      </c>
      <c r="H47" s="1" t="str">
        <f>IF(AND(D47&lt;=MEDIAN($D$2:$D$58),E47&gt;=MEDIAN($E$2:$E$58),F47&gt;=MEDIAN($F$2:$F$58),G47&gt;=MEDIAN($G$2:$G$58)),"Yes","No")</f>
        <v>No</v>
      </c>
    </row>
    <row r="48" spans="1:8" x14ac:dyDescent="0.25">
      <c r="A48" s="1">
        <v>50</v>
      </c>
      <c r="B48" s="1" t="s">
        <v>52</v>
      </c>
      <c r="C48" s="1">
        <v>0.82088354799999996</v>
      </c>
      <c r="D48" s="2">
        <v>-7.8289999999999997</v>
      </c>
      <c r="E48" s="2">
        <v>-6.734</v>
      </c>
      <c r="F48" s="2">
        <v>-7.1130000000000004</v>
      </c>
      <c r="G48" s="2">
        <v>-6.3</v>
      </c>
      <c r="H48" s="1" t="str">
        <f>IF(AND(D48&lt;=MEDIAN($D$2:$D$58),E48&gt;=MEDIAN($E$2:$E$58),F48&gt;=MEDIAN($F$2:$F$58),G48&gt;=MEDIAN($G$2:$G$58)),"Yes","No")</f>
        <v>No</v>
      </c>
    </row>
    <row r="49" spans="1:8" x14ac:dyDescent="0.25">
      <c r="A49" s="1">
        <v>51</v>
      </c>
      <c r="B49" s="1" t="s">
        <v>53</v>
      </c>
      <c r="C49" s="1">
        <v>0.81948867199999997</v>
      </c>
      <c r="D49" s="2">
        <v>-7.8680000000000003</v>
      </c>
      <c r="E49" s="2">
        <v>-7.0410000000000004</v>
      </c>
      <c r="F49" s="2">
        <v>-7.508</v>
      </c>
      <c r="G49" s="2">
        <v>-7.0590000000000002</v>
      </c>
      <c r="H49" s="1" t="str">
        <f>IF(AND(D49&lt;=MEDIAN($D$2:$D$58),E49&gt;=MEDIAN($E$2:$E$58),F49&gt;=MEDIAN($F$2:$F$58),G49&gt;=MEDIAN($G$2:$G$58)),"Yes","No")</f>
        <v>No</v>
      </c>
    </row>
    <row r="50" spans="1:8" x14ac:dyDescent="0.25">
      <c r="A50" s="1">
        <v>52</v>
      </c>
      <c r="B50" s="1" t="s">
        <v>54</v>
      </c>
      <c r="C50" s="1">
        <v>0.81900193899999996</v>
      </c>
      <c r="D50" s="2">
        <v>-8.3330000000000002</v>
      </c>
      <c r="E50" s="2">
        <v>-6.6820000000000004</v>
      </c>
      <c r="F50" s="2">
        <v>-6.633</v>
      </c>
      <c r="G50" s="2">
        <v>-7.1840000000000002</v>
      </c>
      <c r="H50" s="1" t="str">
        <f>IF(AND(D50&lt;=MEDIAN($D$2:$D$58),E50&gt;=MEDIAN($E$2:$E$58),F50&gt;=MEDIAN($F$2:$F$58),G50&gt;=MEDIAN($G$2:$G$58)),"Yes","No")</f>
        <v>No</v>
      </c>
    </row>
    <row r="51" spans="1:8" x14ac:dyDescent="0.25">
      <c r="A51" s="1">
        <v>53</v>
      </c>
      <c r="B51" s="1" t="s">
        <v>55</v>
      </c>
      <c r="C51" s="1">
        <v>0.81575424500000004</v>
      </c>
      <c r="D51" s="2">
        <v>-7.4779999999999998</v>
      </c>
      <c r="E51" s="2">
        <v>-6.9260000000000002</v>
      </c>
      <c r="F51" s="2">
        <v>-7.3339999999999996</v>
      </c>
      <c r="G51" s="2">
        <v>-6.7469999999999999</v>
      </c>
      <c r="H51" s="1" t="str">
        <f>IF(AND(D51&lt;=MEDIAN($D$2:$D$58),E51&gt;=MEDIAN($E$2:$E$58),F51&gt;=MEDIAN($F$2:$F$58),G51&gt;=MEDIAN($G$2:$G$58)),"Yes","No")</f>
        <v>No</v>
      </c>
    </row>
    <row r="52" spans="1:8" x14ac:dyDescent="0.25">
      <c r="A52" s="1">
        <v>54</v>
      </c>
      <c r="B52" s="1" t="s">
        <v>56</v>
      </c>
      <c r="C52" s="1">
        <v>0.811185512</v>
      </c>
      <c r="D52" s="2">
        <v>-7.0380000000000003</v>
      </c>
      <c r="E52" s="2">
        <v>-6.59</v>
      </c>
      <c r="F52" s="2">
        <v>-6.7519999999999998</v>
      </c>
      <c r="G52" s="2">
        <v>-5.6520000000000001</v>
      </c>
      <c r="H52" s="1" t="str">
        <f>IF(AND(D52&lt;=MEDIAN($D$2:$D$58),E52&gt;=MEDIAN($E$2:$E$58),F52&gt;=MEDIAN($F$2:$F$58),G52&gt;=MEDIAN($G$2:$G$58)),"Yes","No")</f>
        <v>No</v>
      </c>
    </row>
    <row r="53" spans="1:8" x14ac:dyDescent="0.25">
      <c r="A53" s="1">
        <v>55</v>
      </c>
      <c r="B53" s="1" t="s">
        <v>57</v>
      </c>
      <c r="C53" s="1">
        <v>0.80931292099999996</v>
      </c>
      <c r="D53" s="2">
        <v>-8.6460000000000008</v>
      </c>
      <c r="E53" s="2">
        <v>-6.2889999999999997</v>
      </c>
      <c r="F53" s="2">
        <v>-6.367</v>
      </c>
      <c r="G53" s="2">
        <v>-7.8369999999999997</v>
      </c>
      <c r="H53" s="1" t="str">
        <f>IF(AND(D53&lt;=MEDIAN($D$2:$D$58),E53&gt;=MEDIAN($E$2:$E$58),F53&gt;=MEDIAN($F$2:$F$58),G53&gt;=MEDIAN($G$2:$G$58)),"Yes","No")</f>
        <v>No</v>
      </c>
    </row>
    <row r="54" spans="1:8" x14ac:dyDescent="0.25">
      <c r="A54" s="1">
        <v>56</v>
      </c>
      <c r="B54" s="1" t="s">
        <v>58</v>
      </c>
      <c r="C54" s="1">
        <v>0.80918739799999995</v>
      </c>
      <c r="D54" s="2">
        <v>-8.2070000000000007</v>
      </c>
      <c r="E54" s="2">
        <v>-7.6040000000000001</v>
      </c>
      <c r="F54" s="2">
        <v>-7.4119999999999999</v>
      </c>
      <c r="G54" s="2">
        <v>-6.9359999999999999</v>
      </c>
      <c r="H54" s="1" t="str">
        <f>IF(AND(D54&lt;=MEDIAN($D$2:$D$58),E54&gt;=MEDIAN($E$2:$E$58),F54&gt;=MEDIAN($F$2:$F$58),G54&gt;=MEDIAN($G$2:$G$58)),"Yes","No")</f>
        <v>No</v>
      </c>
    </row>
    <row r="55" spans="1:8" x14ac:dyDescent="0.25">
      <c r="A55" s="1">
        <v>57</v>
      </c>
      <c r="B55" s="1" t="s">
        <v>59</v>
      </c>
      <c r="C55" s="1">
        <v>0.80907423499999997</v>
      </c>
      <c r="D55" s="2">
        <v>-6.8659999999999997</v>
      </c>
      <c r="E55" s="2">
        <v>-6.6139999999999999</v>
      </c>
      <c r="F55" s="2">
        <v>-7.508</v>
      </c>
      <c r="G55" s="2">
        <v>-7.3419999999999996</v>
      </c>
      <c r="H55" s="1" t="str">
        <f>IF(AND(D55&lt;=MEDIAN($D$2:$D$58),E55&gt;=MEDIAN($E$2:$E$58),F55&gt;=MEDIAN($F$2:$F$58),G55&gt;=MEDIAN($G$2:$G$58)),"Yes","No")</f>
        <v>No</v>
      </c>
    </row>
    <row r="56" spans="1:8" x14ac:dyDescent="0.25">
      <c r="A56" s="1">
        <v>58</v>
      </c>
      <c r="B56" s="1" t="s">
        <v>60</v>
      </c>
      <c r="C56" s="1">
        <v>0.80837197299999997</v>
      </c>
      <c r="D56" s="2">
        <v>-7.6760000000000002</v>
      </c>
      <c r="E56" s="2">
        <v>-6.6369999999999996</v>
      </c>
      <c r="F56" s="2">
        <v>-5.9050000000000002</v>
      </c>
      <c r="G56" s="2">
        <v>-6.8170000000000002</v>
      </c>
      <c r="H56" s="1" t="str">
        <f>IF(AND(D56&lt;=MEDIAN($D$2:$D$58),E56&gt;=MEDIAN($E$2:$E$58),F56&gt;=MEDIAN($F$2:$F$58),G56&gt;=MEDIAN($G$2:$G$58)),"Yes","No")</f>
        <v>No</v>
      </c>
    </row>
    <row r="57" spans="1:8" x14ac:dyDescent="0.25">
      <c r="A57" s="3">
        <v>59</v>
      </c>
      <c r="B57" s="3" t="s">
        <v>61</v>
      </c>
      <c r="C57" s="3">
        <v>0.80821034000000003</v>
      </c>
      <c r="D57" s="4">
        <v>-8.6880000000000006</v>
      </c>
      <c r="E57" s="4">
        <v>-6.681</v>
      </c>
      <c r="F57" s="4">
        <v>-6.6210000000000004</v>
      </c>
      <c r="G57" s="4">
        <v>-6.5170000000000003</v>
      </c>
      <c r="H57" s="3" t="str">
        <f>IF(AND(D57&lt;=MEDIAN($D$2:$D$58),E57&gt;=MEDIAN($E$2:$E$58),F57&gt;=MEDIAN($F$2:$F$58),G57&gt;=MEDIAN($G$2:$G$58)),"Yes","No")</f>
        <v>Yes</v>
      </c>
    </row>
    <row r="58" spans="1:8" x14ac:dyDescent="0.25">
      <c r="A58" s="1">
        <v>60</v>
      </c>
      <c r="B58" s="1" t="s">
        <v>62</v>
      </c>
      <c r="C58" s="1">
        <v>0.806460022</v>
      </c>
      <c r="D58" s="2">
        <v>-7.2539999999999996</v>
      </c>
      <c r="E58" s="2">
        <v>-6.5659999999999998</v>
      </c>
      <c r="F58" s="2">
        <v>-6.7720000000000002</v>
      </c>
      <c r="G58" s="2">
        <v>-5.95</v>
      </c>
      <c r="H58" s="1" t="str">
        <f>IF(AND(D58&lt;=MEDIAN($D$2:$D$58),E58&gt;=MEDIAN($E$2:$E$58),F58&gt;=MEDIAN($F$2:$F$58),G58&gt;=MEDIAN($G$2:$G$58)),"Yes","No")</f>
        <v>No</v>
      </c>
    </row>
    <row r="59" spans="1:8" x14ac:dyDescent="0.25">
      <c r="A59" s="1"/>
      <c r="B59" s="1"/>
      <c r="C59" s="1"/>
      <c r="D59" s="2"/>
      <c r="E59" s="2"/>
      <c r="F59" s="2"/>
      <c r="G59" s="2"/>
      <c r="H59" s="1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yhyc@connect.hku.hk</cp:lastModifiedBy>
  <dcterms:modified xsi:type="dcterms:W3CDTF">2026-04-28T19:30:24Z</dcterms:modified>
</cp:coreProperties>
</file>